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Avanthi\Desktop\"/>
    </mc:Choice>
  </mc:AlternateContent>
  <xr:revisionPtr revIDLastSave="0" documentId="13_ncr:1_{1E762F83-718B-4C6A-8D6A-F1AD406129E1}" xr6:coauthVersionLast="36" xr6:coauthVersionMax="36" xr10:uidLastSave="{00000000-0000-0000-0000-000000000000}"/>
  <bookViews>
    <workbookView minimized="1" xWindow="0" yWindow="0" windowWidth="24000" windowHeight="10215" xr2:uid="{00000000-000D-0000-FFFF-FFFF00000000}"/>
  </bookViews>
  <sheets>
    <sheet name="Hospital Patient Census" sheetId="1" r:id="rId1"/>
  </sheets>
  <calcPr calcId="191029"/>
</workbook>
</file>

<file path=xl/calcChain.xml><?xml version="1.0" encoding="utf-8"?>
<calcChain xmlns="http://schemas.openxmlformats.org/spreadsheetml/2006/main">
  <c r="I106" i="1" l="1"/>
  <c r="G106" i="1"/>
  <c r="H4" i="1"/>
  <c r="E4" i="1"/>
  <c r="B4" i="1"/>
</calcChain>
</file>

<file path=xl/sharedStrings.xml><?xml version="1.0" encoding="utf-8"?>
<sst xmlns="http://schemas.openxmlformats.org/spreadsheetml/2006/main" count="715" uniqueCount="208">
  <si>
    <t>Inpatient Registry &amp; Operational Resource Log (Comprehensive 100-Row Dataset)</t>
  </si>
  <si>
    <t>Total Admitted Patients Logged</t>
  </si>
  <si>
    <t>Average Length of Stay (Days)</t>
  </si>
  <si>
    <t>Total Projectable Daily Billing</t>
  </si>
  <si>
    <t>Patient ID</t>
  </si>
  <si>
    <t>Admission Date</t>
  </si>
  <si>
    <t>Age</t>
  </si>
  <si>
    <t>Gender</t>
  </si>
  <si>
    <t>Assigned Medical Unit</t>
  </si>
  <si>
    <t>Acuity Level</t>
  </si>
  <si>
    <t>Length of Stay (Days)</t>
  </si>
  <si>
    <t>Attending Staff Code</t>
  </si>
  <si>
    <t>Estimated Daily Cost</t>
  </si>
  <si>
    <t>Insurance Verified</t>
  </si>
  <si>
    <t>PT-1000</t>
  </si>
  <si>
    <t>2026-01-01</t>
  </si>
  <si>
    <t>Male</t>
  </si>
  <si>
    <t>Cardiology Wing</t>
  </si>
  <si>
    <t>Moderate</t>
  </si>
  <si>
    <t>MD-DAV</t>
  </si>
  <si>
    <t>Yes</t>
  </si>
  <si>
    <t>PT-1001</t>
  </si>
  <si>
    <t>2026-05-14</t>
  </si>
  <si>
    <t>Intensive Care Unit (ICU)</t>
  </si>
  <si>
    <t>MD-VAR</t>
  </si>
  <si>
    <t>PT-1002</t>
  </si>
  <si>
    <t>Female</t>
  </si>
  <si>
    <t>General Surgery</t>
  </si>
  <si>
    <t>Low</t>
  </si>
  <si>
    <t>MD-GOM</t>
  </si>
  <si>
    <t>No</t>
  </si>
  <si>
    <t>PT-1003</t>
  </si>
  <si>
    <t>2026-02-07</t>
  </si>
  <si>
    <t>Critical</t>
  </si>
  <si>
    <t>PT-1004</t>
  </si>
  <si>
    <t>2026-01-24</t>
  </si>
  <si>
    <t>Neurology Dept</t>
  </si>
  <si>
    <t>PT-1005</t>
  </si>
  <si>
    <t>2026-01-02</t>
  </si>
  <si>
    <t>MD-ALS</t>
  </si>
  <si>
    <t>PT-1006</t>
  </si>
  <si>
    <t>2026-04-21</t>
  </si>
  <si>
    <t>Maternity &amp; OBGYN</t>
  </si>
  <si>
    <t>High</t>
  </si>
  <si>
    <t>MD-MEN</t>
  </si>
  <si>
    <t>PT-1007</t>
  </si>
  <si>
    <t>2026-05-24</t>
  </si>
  <si>
    <t>Oncology Center</t>
  </si>
  <si>
    <t>PT-1008</t>
  </si>
  <si>
    <t>2026-03-27</t>
  </si>
  <si>
    <t>Emergency Medicine</t>
  </si>
  <si>
    <t>MD-PAT</t>
  </si>
  <si>
    <t>PT-1009</t>
  </si>
  <si>
    <t>2026-02-21</t>
  </si>
  <si>
    <t>PT-1010</t>
  </si>
  <si>
    <t>PT-1011</t>
  </si>
  <si>
    <t>2026-01-05</t>
  </si>
  <si>
    <t>MD-FIS</t>
  </si>
  <si>
    <t>PT-1012</t>
  </si>
  <si>
    <t>2026-05-28</t>
  </si>
  <si>
    <t>Orthopedics Unit</t>
  </si>
  <si>
    <t>MD-CHA</t>
  </si>
  <si>
    <t>PT-1013</t>
  </si>
  <si>
    <t>2026-02-15</t>
  </si>
  <si>
    <t>PT-1014</t>
  </si>
  <si>
    <t>2026-02-12</t>
  </si>
  <si>
    <t>PT-1015</t>
  </si>
  <si>
    <t>2026-02-02</t>
  </si>
  <si>
    <t>PT-1016</t>
  </si>
  <si>
    <t>2026-02-22</t>
  </si>
  <si>
    <t>PT-1017</t>
  </si>
  <si>
    <t>2026-04-22</t>
  </si>
  <si>
    <t>PT-1018</t>
  </si>
  <si>
    <t>2026-01-19</t>
  </si>
  <si>
    <t>PT-1019</t>
  </si>
  <si>
    <t>PT-1020</t>
  </si>
  <si>
    <t>2026-05-19</t>
  </si>
  <si>
    <t>PT-1021</t>
  </si>
  <si>
    <t>2026-04-14</t>
  </si>
  <si>
    <t>PT-1022</t>
  </si>
  <si>
    <t>Pediatrics</t>
  </si>
  <si>
    <t>PT-1023</t>
  </si>
  <si>
    <t>2026-04-26</t>
  </si>
  <si>
    <t>PT-1024</t>
  </si>
  <si>
    <t>2026-04-16</t>
  </si>
  <si>
    <t>PT-1025</t>
  </si>
  <si>
    <t>2026-04-10</t>
  </si>
  <si>
    <t>PT-1026</t>
  </si>
  <si>
    <t>2026-03-02</t>
  </si>
  <si>
    <t>PT-1027</t>
  </si>
  <si>
    <t>2026-01-20</t>
  </si>
  <si>
    <t>PT-1028</t>
  </si>
  <si>
    <t>PT-1029</t>
  </si>
  <si>
    <t>2026-04-05</t>
  </si>
  <si>
    <t>PT-1030</t>
  </si>
  <si>
    <t>2026-05-07</t>
  </si>
  <si>
    <t>PT-1031</t>
  </si>
  <si>
    <t>PT-1032</t>
  </si>
  <si>
    <t>2026-02-09</t>
  </si>
  <si>
    <t>PT-1033</t>
  </si>
  <si>
    <t>PT-1034</t>
  </si>
  <si>
    <t>2026-04-27</t>
  </si>
  <si>
    <t>PT-1035</t>
  </si>
  <si>
    <t>2026-04-18</t>
  </si>
  <si>
    <t>PT-1036</t>
  </si>
  <si>
    <t>2026-03-19</t>
  </si>
  <si>
    <t>PT-1037</t>
  </si>
  <si>
    <t>PT-1038</t>
  </si>
  <si>
    <t>2026-02-14</t>
  </si>
  <si>
    <t>PT-1039</t>
  </si>
  <si>
    <t>2026-01-28</t>
  </si>
  <si>
    <t>PT-1040</t>
  </si>
  <si>
    <t>2026-01-22</t>
  </si>
  <si>
    <t>PT-1041</t>
  </si>
  <si>
    <t>2026-05-13</t>
  </si>
  <si>
    <t>PT-1042</t>
  </si>
  <si>
    <t>PT-1043</t>
  </si>
  <si>
    <t>2026-01-23</t>
  </si>
  <si>
    <t>PT-1044</t>
  </si>
  <si>
    <t>PT-1045</t>
  </si>
  <si>
    <t>PT-1046</t>
  </si>
  <si>
    <t>2026-03-07</t>
  </si>
  <si>
    <t>PT-1047</t>
  </si>
  <si>
    <t>PT-1048</t>
  </si>
  <si>
    <t>2026-02-26</t>
  </si>
  <si>
    <t>PT-1049</t>
  </si>
  <si>
    <t>PT-1050</t>
  </si>
  <si>
    <t>2026-04-08</t>
  </si>
  <si>
    <t>PT-1051</t>
  </si>
  <si>
    <t>2026-04-20</t>
  </si>
  <si>
    <t>PT-1052</t>
  </si>
  <si>
    <t>2026-03-25</t>
  </si>
  <si>
    <t>PT-1053</t>
  </si>
  <si>
    <t>PT-1054</t>
  </si>
  <si>
    <t>2026-02-03</t>
  </si>
  <si>
    <t>PT-1055</t>
  </si>
  <si>
    <t>2026-05-23</t>
  </si>
  <si>
    <t>PT-1056</t>
  </si>
  <si>
    <t>PT-1057</t>
  </si>
  <si>
    <t>2026-03-22</t>
  </si>
  <si>
    <t>PT-1058</t>
  </si>
  <si>
    <t>2026-04-19</t>
  </si>
  <si>
    <t>MD-KWE</t>
  </si>
  <si>
    <t>PT-1059</t>
  </si>
  <si>
    <t>2026-03-13</t>
  </si>
  <si>
    <t>PT-1060</t>
  </si>
  <si>
    <t>2026-04-09</t>
  </si>
  <si>
    <t>PT-1061</t>
  </si>
  <si>
    <t>2026-01-08</t>
  </si>
  <si>
    <t>PT-1062</t>
  </si>
  <si>
    <t>2026-04-23</t>
  </si>
  <si>
    <t>PT-1063</t>
  </si>
  <si>
    <t>PT-1064</t>
  </si>
  <si>
    <t>2026-03-28</t>
  </si>
  <si>
    <t>PT-1065</t>
  </si>
  <si>
    <t>2026-05-21</t>
  </si>
  <si>
    <t>PT-1066</t>
  </si>
  <si>
    <t>PT-1067</t>
  </si>
  <si>
    <t>2026-02-27</t>
  </si>
  <si>
    <t>PT-1068</t>
  </si>
  <si>
    <t>2026-01-16</t>
  </si>
  <si>
    <t>PT-1069</t>
  </si>
  <si>
    <t>PT-1070</t>
  </si>
  <si>
    <t>2026-05-25</t>
  </si>
  <si>
    <t>PT-1071</t>
  </si>
  <si>
    <t>2026-02-10</t>
  </si>
  <si>
    <t>PT-1072</t>
  </si>
  <si>
    <t>2026-03-23</t>
  </si>
  <si>
    <t>PT-1073</t>
  </si>
  <si>
    <t>PT-1074</t>
  </si>
  <si>
    <t>2026-01-27</t>
  </si>
  <si>
    <t>PT-1075</t>
  </si>
  <si>
    <t>PT-1076</t>
  </si>
  <si>
    <t>2026-04-15</t>
  </si>
  <si>
    <t>PT-1077</t>
  </si>
  <si>
    <t>2026-04-03</t>
  </si>
  <si>
    <t>PT-1078</t>
  </si>
  <si>
    <t>2026-01-18</t>
  </si>
  <si>
    <t>PT-1079</t>
  </si>
  <si>
    <t>PT-1080</t>
  </si>
  <si>
    <t>2026-02-06</t>
  </si>
  <si>
    <t>PT-1081</t>
  </si>
  <si>
    <t>PT-1082</t>
  </si>
  <si>
    <t>2026-04-04</t>
  </si>
  <si>
    <t>PT-1083</t>
  </si>
  <si>
    <t>PT-1084</t>
  </si>
  <si>
    <t>2026-05-18</t>
  </si>
  <si>
    <t>PT-1085</t>
  </si>
  <si>
    <t>PT-1086</t>
  </si>
  <si>
    <t>2026-02-19</t>
  </si>
  <si>
    <t>PT-1087</t>
  </si>
  <si>
    <t>2026-02-11</t>
  </si>
  <si>
    <t>PT-1088</t>
  </si>
  <si>
    <t>2026-03-04</t>
  </si>
  <si>
    <t>PT-1089</t>
  </si>
  <si>
    <t>PT-1090</t>
  </si>
  <si>
    <t>PT-1091</t>
  </si>
  <si>
    <t>PT-1092</t>
  </si>
  <si>
    <t>PT-1093</t>
  </si>
  <si>
    <t>2026-01-09</t>
  </si>
  <si>
    <t>PT-1094</t>
  </si>
  <si>
    <t>PT-1095</t>
  </si>
  <si>
    <t>PT-1096</t>
  </si>
  <si>
    <t>PT-1097</t>
  </si>
  <si>
    <t>PT-1098</t>
  </si>
  <si>
    <t>PT-1099</t>
  </si>
  <si>
    <t>2026-03-21</t>
  </si>
  <si>
    <t>Summary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</si>
</sst>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$#,##0.00"/>
    <numFmt numFmtId="167" formatCode="&quot;₹&quot;\ #,##0.00"/>
  </numFmts>
  <fonts count="8" x14ac:knownFonts="1">
    <font>
      <sz val="11"/>
      <color theme="1"/>
      <name val="Calibri"/>
      <family val="2"/>
      <scheme val="minor"/>
    </font>
    <font>
      <b/>
      <sz val="16"/>
      <color rgb="FF0F3756"/>
      <name val="Segoe UI"/>
      <family val="2"/>
    </font>
    <font>
      <i/>
      <sz val="9"/>
      <color rgb="FF555555"/>
      <name val="Segoe UI"/>
      <family val="2"/>
    </font>
    <font>
      <b/>
      <sz val="12"/>
      <color rgb="FF0F3756"/>
      <name val="Segoe UI"/>
      <family val="2"/>
    </font>
    <font>
      <b/>
      <sz val="11"/>
      <color rgb="FFFFFFFF"/>
      <name val="Segoe UI"/>
      <family val="2"/>
    </font>
    <font>
      <sz val="10"/>
      <color rgb="FF222222"/>
      <name val="Segoe UI"/>
      <family val="2"/>
    </font>
    <font>
      <b/>
      <sz val="10"/>
      <color rgb="FF900C3F"/>
      <name val="Segoe UI"/>
      <family val="2"/>
    </font>
    <font>
      <b/>
      <sz val="11"/>
      <color rgb="FF0F3756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E6EEF4"/>
        <bgColor rgb="FFE6EEF4"/>
      </patternFill>
    </fill>
    <fill>
      <patternFill patternType="solid">
        <fgColor rgb="FF0F3756"/>
        <bgColor rgb="FF0F3756"/>
      </patternFill>
    </fill>
    <fill>
      <patternFill patternType="solid">
        <fgColor rgb="FFF4F8FA"/>
        <bgColor rgb="FFF4F8FA"/>
      </patternFill>
    </fill>
    <fill>
      <patternFill patternType="solid">
        <fgColor rgb="FFFADBD8"/>
        <bgColor rgb="FFFADBD8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0F3756"/>
      </top>
      <bottom style="double">
        <color rgb="FF0F375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5" fillId="4" borderId="1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167" fontId="7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"/>
  <sheetViews>
    <sheetView tabSelected="1" workbookViewId="0">
      <selection activeCell="A2" sqref="A2"/>
    </sheetView>
  </sheetViews>
  <sheetFormatPr defaultRowHeight="15" x14ac:dyDescent="0.25"/>
  <cols>
    <col min="1" max="1" width="18" customWidth="1"/>
    <col min="2" max="2" width="33" customWidth="1"/>
    <col min="3" max="4" width="14" customWidth="1"/>
    <col min="5" max="5" width="32" customWidth="1"/>
    <col min="6" max="6" width="15" customWidth="1"/>
    <col min="7" max="7" width="24" customWidth="1"/>
    <col min="8" max="8" width="34" customWidth="1"/>
    <col min="9" max="9" width="23" customWidth="1"/>
    <col min="10" max="10" width="21" customWidth="1"/>
  </cols>
  <sheetData>
    <row r="1" spans="1:10" ht="25.5" x14ac:dyDescent="0.25">
      <c r="A1" s="11" t="s">
        <v>0</v>
      </c>
      <c r="B1" s="11"/>
      <c r="C1" s="11"/>
      <c r="D1" s="11"/>
      <c r="E1" s="11"/>
      <c r="F1" s="11"/>
    </row>
    <row r="3" spans="1:10" x14ac:dyDescent="0.25">
      <c r="A3" s="10"/>
      <c r="B3" s="7" t="s">
        <v>1</v>
      </c>
      <c r="C3" s="12"/>
      <c r="D3" s="10"/>
      <c r="E3" s="7" t="s">
        <v>2</v>
      </c>
      <c r="F3" s="12"/>
      <c r="G3" s="10"/>
      <c r="H3" s="7" t="s">
        <v>3</v>
      </c>
      <c r="I3" s="12"/>
      <c r="J3" s="10"/>
    </row>
    <row r="4" spans="1:10" ht="17.25" x14ac:dyDescent="0.3">
      <c r="A4" s="10"/>
      <c r="B4" s="9">
        <f>COUNTA(A6:A105)</f>
        <v>100</v>
      </c>
      <c r="C4" s="12"/>
      <c r="D4" s="10"/>
      <c r="E4" s="6">
        <f>AVERAGE(G6:G105)</f>
        <v>7.6</v>
      </c>
      <c r="F4" s="12"/>
      <c r="G4" s="10"/>
      <c r="H4" s="8">
        <f>SUM(I6:I105)</f>
        <v>206206.34999999995</v>
      </c>
      <c r="I4" s="12"/>
      <c r="J4" s="10"/>
    </row>
    <row r="5" spans="1:10" ht="24.95" customHeight="1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</row>
    <row r="6" spans="1:10" x14ac:dyDescent="0.25">
      <c r="A6" s="2" t="s">
        <v>14</v>
      </c>
      <c r="B6" s="2" t="s">
        <v>15</v>
      </c>
      <c r="C6" s="2">
        <v>36</v>
      </c>
      <c r="D6" s="2" t="s">
        <v>16</v>
      </c>
      <c r="E6" s="2" t="s">
        <v>17</v>
      </c>
      <c r="F6" s="2" t="s">
        <v>18</v>
      </c>
      <c r="G6" s="2">
        <v>7</v>
      </c>
      <c r="H6" s="2" t="s">
        <v>19</v>
      </c>
      <c r="I6" s="16">
        <v>1092.25</v>
      </c>
      <c r="J6" s="2" t="s">
        <v>20</v>
      </c>
    </row>
    <row r="7" spans="1:10" x14ac:dyDescent="0.25">
      <c r="A7" s="3" t="s">
        <v>21</v>
      </c>
      <c r="B7" s="3" t="s">
        <v>22</v>
      </c>
      <c r="C7" s="3">
        <v>5</v>
      </c>
      <c r="D7" s="3" t="s">
        <v>16</v>
      </c>
      <c r="E7" s="3" t="s">
        <v>23</v>
      </c>
      <c r="F7" s="3" t="s">
        <v>18</v>
      </c>
      <c r="G7" s="3">
        <v>3</v>
      </c>
      <c r="H7" s="3" t="s">
        <v>24</v>
      </c>
      <c r="I7" s="15">
        <v>1454.82</v>
      </c>
      <c r="J7" s="3" t="s">
        <v>20</v>
      </c>
    </row>
    <row r="8" spans="1:10" x14ac:dyDescent="0.25">
      <c r="A8" s="2" t="s">
        <v>25</v>
      </c>
      <c r="B8" s="2" t="s">
        <v>22</v>
      </c>
      <c r="C8" s="2">
        <v>29</v>
      </c>
      <c r="D8" s="2" t="s">
        <v>26</v>
      </c>
      <c r="E8" s="2" t="s">
        <v>27</v>
      </c>
      <c r="F8" s="2" t="s">
        <v>28</v>
      </c>
      <c r="G8" s="2">
        <v>1</v>
      </c>
      <c r="H8" s="2" t="s">
        <v>29</v>
      </c>
      <c r="I8" s="16">
        <v>799.07</v>
      </c>
      <c r="J8" s="2" t="s">
        <v>30</v>
      </c>
    </row>
    <row r="9" spans="1:10" x14ac:dyDescent="0.25">
      <c r="A9" s="3" t="s">
        <v>31</v>
      </c>
      <c r="B9" s="3" t="s">
        <v>32</v>
      </c>
      <c r="C9" s="3">
        <v>44</v>
      </c>
      <c r="D9" s="3" t="s">
        <v>16</v>
      </c>
      <c r="E9" s="3" t="s">
        <v>23</v>
      </c>
      <c r="F9" s="4" t="s">
        <v>33</v>
      </c>
      <c r="G9" s="3">
        <v>11</v>
      </c>
      <c r="H9" s="3" t="s">
        <v>29</v>
      </c>
      <c r="I9" s="15">
        <v>3217.96</v>
      </c>
      <c r="J9" s="3" t="s">
        <v>30</v>
      </c>
    </row>
    <row r="10" spans="1:10" x14ac:dyDescent="0.25">
      <c r="A10" s="2" t="s">
        <v>34</v>
      </c>
      <c r="B10" s="2" t="s">
        <v>35</v>
      </c>
      <c r="C10" s="2">
        <v>59</v>
      </c>
      <c r="D10" s="2" t="s">
        <v>16</v>
      </c>
      <c r="E10" s="2" t="s">
        <v>36</v>
      </c>
      <c r="F10" s="2" t="s">
        <v>28</v>
      </c>
      <c r="G10" s="2">
        <v>3</v>
      </c>
      <c r="H10" s="2" t="s">
        <v>29</v>
      </c>
      <c r="I10" s="16">
        <v>596.59</v>
      </c>
      <c r="J10" s="2" t="s">
        <v>20</v>
      </c>
    </row>
    <row r="11" spans="1:10" x14ac:dyDescent="0.25">
      <c r="A11" s="3" t="s">
        <v>37</v>
      </c>
      <c r="B11" s="3" t="s">
        <v>38</v>
      </c>
      <c r="C11" s="3">
        <v>85</v>
      </c>
      <c r="D11" s="3" t="s">
        <v>16</v>
      </c>
      <c r="E11" s="3" t="s">
        <v>27</v>
      </c>
      <c r="F11" s="3" t="s">
        <v>28</v>
      </c>
      <c r="G11" s="3">
        <v>1</v>
      </c>
      <c r="H11" s="3" t="s">
        <v>39</v>
      </c>
      <c r="I11" s="15">
        <v>883.24</v>
      </c>
      <c r="J11" s="3" t="s">
        <v>30</v>
      </c>
    </row>
    <row r="12" spans="1:10" x14ac:dyDescent="0.25">
      <c r="A12" s="2" t="s">
        <v>40</v>
      </c>
      <c r="B12" s="2" t="s">
        <v>41</v>
      </c>
      <c r="C12" s="2">
        <v>47</v>
      </c>
      <c r="D12" s="2" t="s">
        <v>16</v>
      </c>
      <c r="E12" s="2" t="s">
        <v>42</v>
      </c>
      <c r="F12" s="2" t="s">
        <v>43</v>
      </c>
      <c r="G12" s="2">
        <v>7</v>
      </c>
      <c r="H12" s="2" t="s">
        <v>44</v>
      </c>
      <c r="I12" s="16">
        <v>2604.21</v>
      </c>
      <c r="J12" s="2" t="s">
        <v>20</v>
      </c>
    </row>
    <row r="13" spans="1:10" x14ac:dyDescent="0.25">
      <c r="A13" s="3" t="s">
        <v>45</v>
      </c>
      <c r="B13" s="3" t="s">
        <v>46</v>
      </c>
      <c r="C13" s="3">
        <v>32</v>
      </c>
      <c r="D13" s="3" t="s">
        <v>16</v>
      </c>
      <c r="E13" s="3" t="s">
        <v>47</v>
      </c>
      <c r="F13" s="4" t="s">
        <v>33</v>
      </c>
      <c r="G13" s="3">
        <v>16</v>
      </c>
      <c r="H13" s="3" t="s">
        <v>19</v>
      </c>
      <c r="I13" s="15">
        <v>4479.05</v>
      </c>
      <c r="J13" s="3" t="s">
        <v>20</v>
      </c>
    </row>
    <row r="14" spans="1:10" x14ac:dyDescent="0.25">
      <c r="A14" s="2" t="s">
        <v>48</v>
      </c>
      <c r="B14" s="2" t="s">
        <v>49</v>
      </c>
      <c r="C14" s="2">
        <v>8</v>
      </c>
      <c r="D14" s="2" t="s">
        <v>16</v>
      </c>
      <c r="E14" s="2" t="s">
        <v>50</v>
      </c>
      <c r="F14" s="2" t="s">
        <v>43</v>
      </c>
      <c r="G14" s="2">
        <v>10</v>
      </c>
      <c r="H14" s="2" t="s">
        <v>51</v>
      </c>
      <c r="I14" s="16">
        <v>2121.29</v>
      </c>
      <c r="J14" s="2" t="s">
        <v>30</v>
      </c>
    </row>
    <row r="15" spans="1:10" x14ac:dyDescent="0.25">
      <c r="A15" s="3" t="s">
        <v>52</v>
      </c>
      <c r="B15" s="3" t="s">
        <v>53</v>
      </c>
      <c r="C15" s="3">
        <v>64</v>
      </c>
      <c r="D15" s="3" t="s">
        <v>26</v>
      </c>
      <c r="E15" s="3" t="s">
        <v>47</v>
      </c>
      <c r="F15" s="3" t="s">
        <v>18</v>
      </c>
      <c r="G15" s="3">
        <v>4</v>
      </c>
      <c r="H15" s="3" t="s">
        <v>19</v>
      </c>
      <c r="I15" s="15">
        <v>1125.67</v>
      </c>
      <c r="J15" s="3" t="s">
        <v>30</v>
      </c>
    </row>
    <row r="16" spans="1:10" x14ac:dyDescent="0.25">
      <c r="A16" s="2" t="s">
        <v>54</v>
      </c>
      <c r="B16" s="2" t="s">
        <v>22</v>
      </c>
      <c r="C16" s="2">
        <v>75</v>
      </c>
      <c r="D16" s="2" t="s">
        <v>26</v>
      </c>
      <c r="E16" s="2" t="s">
        <v>42</v>
      </c>
      <c r="F16" s="2" t="s">
        <v>18</v>
      </c>
      <c r="G16" s="2">
        <v>3</v>
      </c>
      <c r="H16" s="2" t="s">
        <v>44</v>
      </c>
      <c r="I16" s="16">
        <v>1458.57</v>
      </c>
      <c r="J16" s="2" t="s">
        <v>20</v>
      </c>
    </row>
    <row r="17" spans="1:10" x14ac:dyDescent="0.25">
      <c r="A17" s="3" t="s">
        <v>55</v>
      </c>
      <c r="B17" s="3" t="s">
        <v>56</v>
      </c>
      <c r="C17" s="3">
        <v>81</v>
      </c>
      <c r="D17" s="3" t="s">
        <v>16</v>
      </c>
      <c r="E17" s="3" t="s">
        <v>36</v>
      </c>
      <c r="F17" s="3" t="s">
        <v>28</v>
      </c>
      <c r="G17" s="3">
        <v>2</v>
      </c>
      <c r="H17" s="3" t="s">
        <v>57</v>
      </c>
      <c r="I17" s="15">
        <v>640.80999999999995</v>
      </c>
      <c r="J17" s="3" t="s">
        <v>30</v>
      </c>
    </row>
    <row r="18" spans="1:10" x14ac:dyDescent="0.25">
      <c r="A18" s="2" t="s">
        <v>58</v>
      </c>
      <c r="B18" s="2" t="s">
        <v>59</v>
      </c>
      <c r="C18" s="2">
        <v>2</v>
      </c>
      <c r="D18" s="2" t="s">
        <v>16</v>
      </c>
      <c r="E18" s="2" t="s">
        <v>60</v>
      </c>
      <c r="F18" s="2" t="s">
        <v>43</v>
      </c>
      <c r="G18" s="2">
        <v>14</v>
      </c>
      <c r="H18" s="2" t="s">
        <v>61</v>
      </c>
      <c r="I18" s="16">
        <v>2208.21</v>
      </c>
      <c r="J18" s="2" t="s">
        <v>20</v>
      </c>
    </row>
    <row r="19" spans="1:10" x14ac:dyDescent="0.25">
      <c r="A19" s="3" t="s">
        <v>62</v>
      </c>
      <c r="B19" s="3" t="s">
        <v>63</v>
      </c>
      <c r="C19" s="3">
        <v>1</v>
      </c>
      <c r="D19" s="3" t="s">
        <v>26</v>
      </c>
      <c r="E19" s="3" t="s">
        <v>60</v>
      </c>
      <c r="F19" s="3" t="s">
        <v>18</v>
      </c>
      <c r="G19" s="3">
        <v>6</v>
      </c>
      <c r="H19" s="3" t="s">
        <v>61</v>
      </c>
      <c r="I19" s="15">
        <v>1821.37</v>
      </c>
      <c r="J19" s="3" t="s">
        <v>20</v>
      </c>
    </row>
    <row r="20" spans="1:10" x14ac:dyDescent="0.25">
      <c r="A20" s="2" t="s">
        <v>64</v>
      </c>
      <c r="B20" s="2" t="s">
        <v>65</v>
      </c>
      <c r="C20" s="2">
        <v>21</v>
      </c>
      <c r="D20" s="2" t="s">
        <v>16</v>
      </c>
      <c r="E20" s="2" t="s">
        <v>42</v>
      </c>
      <c r="F20" s="4" t="s">
        <v>33</v>
      </c>
      <c r="G20" s="2">
        <v>8</v>
      </c>
      <c r="H20" s="2" t="s">
        <v>29</v>
      </c>
      <c r="I20" s="16">
        <v>2723.74</v>
      </c>
      <c r="J20" s="2" t="s">
        <v>30</v>
      </c>
    </row>
    <row r="21" spans="1:10" x14ac:dyDescent="0.25">
      <c r="A21" s="3" t="s">
        <v>66</v>
      </c>
      <c r="B21" s="3" t="s">
        <v>67</v>
      </c>
      <c r="C21" s="3">
        <v>31</v>
      </c>
      <c r="D21" s="3" t="s">
        <v>16</v>
      </c>
      <c r="E21" s="3" t="s">
        <v>23</v>
      </c>
      <c r="F21" s="4" t="s">
        <v>33</v>
      </c>
      <c r="G21" s="3">
        <v>10</v>
      </c>
      <c r="H21" s="3" t="s">
        <v>19</v>
      </c>
      <c r="I21" s="15">
        <v>4455.97</v>
      </c>
      <c r="J21" s="3" t="s">
        <v>20</v>
      </c>
    </row>
    <row r="22" spans="1:10" x14ac:dyDescent="0.25">
      <c r="A22" s="2" t="s">
        <v>68</v>
      </c>
      <c r="B22" s="2" t="s">
        <v>69</v>
      </c>
      <c r="C22" s="2">
        <v>61</v>
      </c>
      <c r="D22" s="2" t="s">
        <v>16</v>
      </c>
      <c r="E22" s="2" t="s">
        <v>27</v>
      </c>
      <c r="F22" s="4" t="s">
        <v>33</v>
      </c>
      <c r="G22" s="2">
        <v>14</v>
      </c>
      <c r="H22" s="2" t="s">
        <v>51</v>
      </c>
      <c r="I22" s="16">
        <v>4357.83</v>
      </c>
      <c r="J22" s="2" t="s">
        <v>30</v>
      </c>
    </row>
    <row r="23" spans="1:10" x14ac:dyDescent="0.25">
      <c r="A23" s="3" t="s">
        <v>70</v>
      </c>
      <c r="B23" s="3" t="s">
        <v>71</v>
      </c>
      <c r="C23" s="3">
        <v>84</v>
      </c>
      <c r="D23" s="3" t="s">
        <v>26</v>
      </c>
      <c r="E23" s="3" t="s">
        <v>47</v>
      </c>
      <c r="F23" s="4" t="s">
        <v>33</v>
      </c>
      <c r="G23" s="3">
        <v>11</v>
      </c>
      <c r="H23" s="3" t="s">
        <v>44</v>
      </c>
      <c r="I23" s="15">
        <v>2995.81</v>
      </c>
      <c r="J23" s="3" t="s">
        <v>30</v>
      </c>
    </row>
    <row r="24" spans="1:10" x14ac:dyDescent="0.25">
      <c r="A24" s="2" t="s">
        <v>72</v>
      </c>
      <c r="B24" s="2" t="s">
        <v>73</v>
      </c>
      <c r="C24" s="2">
        <v>71</v>
      </c>
      <c r="D24" s="2" t="s">
        <v>16</v>
      </c>
      <c r="E24" s="2" t="s">
        <v>17</v>
      </c>
      <c r="F24" s="2" t="s">
        <v>28</v>
      </c>
      <c r="G24" s="2">
        <v>1</v>
      </c>
      <c r="H24" s="2" t="s">
        <v>24</v>
      </c>
      <c r="I24" s="16">
        <v>803.92</v>
      </c>
      <c r="J24" s="2" t="s">
        <v>20</v>
      </c>
    </row>
    <row r="25" spans="1:10" x14ac:dyDescent="0.25">
      <c r="A25" s="3" t="s">
        <v>74</v>
      </c>
      <c r="B25" s="3" t="s">
        <v>38</v>
      </c>
      <c r="C25" s="3">
        <v>43</v>
      </c>
      <c r="D25" s="3" t="s">
        <v>16</v>
      </c>
      <c r="E25" s="3" t="s">
        <v>60</v>
      </c>
      <c r="F25" s="3" t="s">
        <v>18</v>
      </c>
      <c r="G25" s="3">
        <v>4</v>
      </c>
      <c r="H25" s="3" t="s">
        <v>51</v>
      </c>
      <c r="I25" s="15">
        <v>1602.08</v>
      </c>
      <c r="J25" s="3" t="s">
        <v>20</v>
      </c>
    </row>
    <row r="26" spans="1:10" x14ac:dyDescent="0.25">
      <c r="A26" s="2" t="s">
        <v>75</v>
      </c>
      <c r="B26" s="2" t="s">
        <v>76</v>
      </c>
      <c r="C26" s="2">
        <v>61</v>
      </c>
      <c r="D26" s="2" t="s">
        <v>16</v>
      </c>
      <c r="E26" s="2" t="s">
        <v>47</v>
      </c>
      <c r="F26" s="4" t="s">
        <v>33</v>
      </c>
      <c r="G26" s="2">
        <v>14</v>
      </c>
      <c r="H26" s="2" t="s">
        <v>39</v>
      </c>
      <c r="I26" s="16">
        <v>2688.65</v>
      </c>
      <c r="J26" s="2" t="s">
        <v>30</v>
      </c>
    </row>
    <row r="27" spans="1:10" x14ac:dyDescent="0.25">
      <c r="A27" s="3" t="s">
        <v>77</v>
      </c>
      <c r="B27" s="3" t="s">
        <v>78</v>
      </c>
      <c r="C27" s="3">
        <v>60</v>
      </c>
      <c r="D27" s="3" t="s">
        <v>16</v>
      </c>
      <c r="E27" s="3" t="s">
        <v>23</v>
      </c>
      <c r="F27" s="3" t="s">
        <v>28</v>
      </c>
      <c r="G27" s="3">
        <v>2</v>
      </c>
      <c r="H27" s="3" t="s">
        <v>44</v>
      </c>
      <c r="I27" s="15">
        <v>814.11</v>
      </c>
      <c r="J27" s="3" t="s">
        <v>20</v>
      </c>
    </row>
    <row r="28" spans="1:10" x14ac:dyDescent="0.25">
      <c r="A28" s="2" t="s">
        <v>79</v>
      </c>
      <c r="B28" s="2" t="s">
        <v>32</v>
      </c>
      <c r="C28" s="2">
        <v>69</v>
      </c>
      <c r="D28" s="2" t="s">
        <v>26</v>
      </c>
      <c r="E28" s="2" t="s">
        <v>80</v>
      </c>
      <c r="F28" s="4" t="s">
        <v>33</v>
      </c>
      <c r="G28" s="2">
        <v>13</v>
      </c>
      <c r="H28" s="2" t="s">
        <v>51</v>
      </c>
      <c r="I28" s="16">
        <v>3057.09</v>
      </c>
      <c r="J28" s="2" t="s">
        <v>20</v>
      </c>
    </row>
    <row r="29" spans="1:10" x14ac:dyDescent="0.25">
      <c r="A29" s="3" t="s">
        <v>81</v>
      </c>
      <c r="B29" s="3" t="s">
        <v>82</v>
      </c>
      <c r="C29" s="3">
        <v>71</v>
      </c>
      <c r="D29" s="3" t="s">
        <v>16</v>
      </c>
      <c r="E29" s="3" t="s">
        <v>50</v>
      </c>
      <c r="F29" s="3" t="s">
        <v>28</v>
      </c>
      <c r="G29" s="3">
        <v>1</v>
      </c>
      <c r="H29" s="3" t="s">
        <v>51</v>
      </c>
      <c r="I29" s="15">
        <v>913.18</v>
      </c>
      <c r="J29" s="3" t="s">
        <v>20</v>
      </c>
    </row>
    <row r="30" spans="1:10" x14ac:dyDescent="0.25">
      <c r="A30" s="2" t="s">
        <v>83</v>
      </c>
      <c r="B30" s="2" t="s">
        <v>84</v>
      </c>
      <c r="C30" s="2">
        <v>62</v>
      </c>
      <c r="D30" s="2" t="s">
        <v>16</v>
      </c>
      <c r="E30" s="2" t="s">
        <v>36</v>
      </c>
      <c r="F30" s="2" t="s">
        <v>28</v>
      </c>
      <c r="G30" s="2">
        <v>1</v>
      </c>
      <c r="H30" s="2" t="s">
        <v>39</v>
      </c>
      <c r="I30" s="16">
        <v>639.49</v>
      </c>
      <c r="J30" s="2" t="s">
        <v>30</v>
      </c>
    </row>
    <row r="31" spans="1:10" x14ac:dyDescent="0.25">
      <c r="A31" s="3" t="s">
        <v>85</v>
      </c>
      <c r="B31" s="3" t="s">
        <v>86</v>
      </c>
      <c r="C31" s="3">
        <v>55</v>
      </c>
      <c r="D31" s="3" t="s">
        <v>26</v>
      </c>
      <c r="E31" s="3" t="s">
        <v>80</v>
      </c>
      <c r="F31" s="3" t="s">
        <v>18</v>
      </c>
      <c r="G31" s="3">
        <v>4</v>
      </c>
      <c r="H31" s="3" t="s">
        <v>24</v>
      </c>
      <c r="I31" s="15">
        <v>1195.93</v>
      </c>
      <c r="J31" s="3" t="s">
        <v>20</v>
      </c>
    </row>
    <row r="32" spans="1:10" x14ac:dyDescent="0.25">
      <c r="A32" s="2" t="s">
        <v>87</v>
      </c>
      <c r="B32" s="2" t="s">
        <v>88</v>
      </c>
      <c r="C32" s="2">
        <v>7</v>
      </c>
      <c r="D32" s="2" t="s">
        <v>26</v>
      </c>
      <c r="E32" s="2" t="s">
        <v>60</v>
      </c>
      <c r="F32" s="2" t="s">
        <v>18</v>
      </c>
      <c r="G32" s="2">
        <v>2</v>
      </c>
      <c r="H32" s="2" t="s">
        <v>44</v>
      </c>
      <c r="I32" s="16">
        <v>1864.7</v>
      </c>
      <c r="J32" s="2" t="s">
        <v>20</v>
      </c>
    </row>
    <row r="33" spans="1:10" x14ac:dyDescent="0.25">
      <c r="A33" s="3" t="s">
        <v>89</v>
      </c>
      <c r="B33" s="3" t="s">
        <v>90</v>
      </c>
      <c r="C33" s="3">
        <v>9</v>
      </c>
      <c r="D33" s="3" t="s">
        <v>16</v>
      </c>
      <c r="E33" s="3" t="s">
        <v>36</v>
      </c>
      <c r="F33" s="3" t="s">
        <v>28</v>
      </c>
      <c r="G33" s="3">
        <v>3</v>
      </c>
      <c r="H33" s="3" t="s">
        <v>24</v>
      </c>
      <c r="I33" s="15">
        <v>573.11</v>
      </c>
      <c r="J33" s="3" t="s">
        <v>20</v>
      </c>
    </row>
    <row r="34" spans="1:10" x14ac:dyDescent="0.25">
      <c r="A34" s="2" t="s">
        <v>91</v>
      </c>
      <c r="B34" s="2" t="s">
        <v>71</v>
      </c>
      <c r="C34" s="2">
        <v>75</v>
      </c>
      <c r="D34" s="2" t="s">
        <v>26</v>
      </c>
      <c r="E34" s="2" t="s">
        <v>27</v>
      </c>
      <c r="F34" s="2" t="s">
        <v>18</v>
      </c>
      <c r="G34" s="2">
        <v>7</v>
      </c>
      <c r="H34" s="2" t="s">
        <v>51</v>
      </c>
      <c r="I34" s="16">
        <v>1644.57</v>
      </c>
      <c r="J34" s="2" t="s">
        <v>30</v>
      </c>
    </row>
    <row r="35" spans="1:10" x14ac:dyDescent="0.25">
      <c r="A35" s="3" t="s">
        <v>92</v>
      </c>
      <c r="B35" s="3" t="s">
        <v>93</v>
      </c>
      <c r="C35" s="3">
        <v>86</v>
      </c>
      <c r="D35" s="3" t="s">
        <v>26</v>
      </c>
      <c r="E35" s="3" t="s">
        <v>47</v>
      </c>
      <c r="F35" s="3" t="s">
        <v>43</v>
      </c>
      <c r="G35" s="3">
        <v>5</v>
      </c>
      <c r="H35" s="3" t="s">
        <v>44</v>
      </c>
      <c r="I35" s="15">
        <v>1811.18</v>
      </c>
      <c r="J35" s="3" t="s">
        <v>20</v>
      </c>
    </row>
    <row r="36" spans="1:10" x14ac:dyDescent="0.25">
      <c r="A36" s="2" t="s">
        <v>94</v>
      </c>
      <c r="B36" s="2" t="s">
        <v>95</v>
      </c>
      <c r="C36" s="2">
        <v>65</v>
      </c>
      <c r="D36" s="2" t="s">
        <v>26</v>
      </c>
      <c r="E36" s="2" t="s">
        <v>80</v>
      </c>
      <c r="F36" s="2" t="s">
        <v>43</v>
      </c>
      <c r="G36" s="2">
        <v>5</v>
      </c>
      <c r="H36" s="2" t="s">
        <v>29</v>
      </c>
      <c r="I36" s="16">
        <v>2855.12</v>
      </c>
      <c r="J36" s="2" t="s">
        <v>30</v>
      </c>
    </row>
    <row r="37" spans="1:10" x14ac:dyDescent="0.25">
      <c r="A37" s="3" t="s">
        <v>96</v>
      </c>
      <c r="B37" s="3" t="s">
        <v>63</v>
      </c>
      <c r="C37" s="3">
        <v>70</v>
      </c>
      <c r="D37" s="3" t="s">
        <v>26</v>
      </c>
      <c r="E37" s="3" t="s">
        <v>60</v>
      </c>
      <c r="F37" s="3" t="s">
        <v>28</v>
      </c>
      <c r="G37" s="3">
        <v>3</v>
      </c>
      <c r="H37" s="3" t="s">
        <v>61</v>
      </c>
      <c r="I37" s="15">
        <v>858.55</v>
      </c>
      <c r="J37" s="3" t="s">
        <v>20</v>
      </c>
    </row>
    <row r="38" spans="1:10" x14ac:dyDescent="0.25">
      <c r="A38" s="2" t="s">
        <v>97</v>
      </c>
      <c r="B38" s="2" t="s">
        <v>98</v>
      </c>
      <c r="C38" s="2">
        <v>15</v>
      </c>
      <c r="D38" s="2" t="s">
        <v>16</v>
      </c>
      <c r="E38" s="2" t="s">
        <v>60</v>
      </c>
      <c r="F38" s="2" t="s">
        <v>18</v>
      </c>
      <c r="G38" s="2">
        <v>4</v>
      </c>
      <c r="H38" s="2" t="s">
        <v>51</v>
      </c>
      <c r="I38" s="16">
        <v>1253.58</v>
      </c>
      <c r="J38" s="2" t="s">
        <v>30</v>
      </c>
    </row>
    <row r="39" spans="1:10" x14ac:dyDescent="0.25">
      <c r="A39" s="3" t="s">
        <v>99</v>
      </c>
      <c r="B39" s="3" t="s">
        <v>69</v>
      </c>
      <c r="C39" s="3">
        <v>82</v>
      </c>
      <c r="D39" s="3" t="s">
        <v>26</v>
      </c>
      <c r="E39" s="3" t="s">
        <v>60</v>
      </c>
      <c r="F39" s="4" t="s">
        <v>33</v>
      </c>
      <c r="G39" s="3">
        <v>16</v>
      </c>
      <c r="H39" s="3" t="s">
        <v>24</v>
      </c>
      <c r="I39" s="15">
        <v>4310.67</v>
      </c>
      <c r="J39" s="3" t="s">
        <v>20</v>
      </c>
    </row>
    <row r="40" spans="1:10" x14ac:dyDescent="0.25">
      <c r="A40" s="2" t="s">
        <v>100</v>
      </c>
      <c r="B40" s="2" t="s">
        <v>101</v>
      </c>
      <c r="C40" s="2">
        <v>36</v>
      </c>
      <c r="D40" s="2" t="s">
        <v>16</v>
      </c>
      <c r="E40" s="2" t="s">
        <v>50</v>
      </c>
      <c r="F40" s="2" t="s">
        <v>43</v>
      </c>
      <c r="G40" s="2">
        <v>6</v>
      </c>
      <c r="H40" s="2" t="s">
        <v>61</v>
      </c>
      <c r="I40" s="16">
        <v>2564.54</v>
      </c>
      <c r="J40" s="2" t="s">
        <v>20</v>
      </c>
    </row>
    <row r="41" spans="1:10" x14ac:dyDescent="0.25">
      <c r="A41" s="3" t="s">
        <v>102</v>
      </c>
      <c r="B41" s="3" t="s">
        <v>103</v>
      </c>
      <c r="C41" s="3">
        <v>55</v>
      </c>
      <c r="D41" s="3" t="s">
        <v>16</v>
      </c>
      <c r="E41" s="3" t="s">
        <v>23</v>
      </c>
      <c r="F41" s="3" t="s">
        <v>28</v>
      </c>
      <c r="G41" s="3">
        <v>3</v>
      </c>
      <c r="H41" s="3" t="s">
        <v>19</v>
      </c>
      <c r="I41" s="15">
        <v>901.96</v>
      </c>
      <c r="J41" s="3" t="s">
        <v>20</v>
      </c>
    </row>
    <row r="42" spans="1:10" x14ac:dyDescent="0.25">
      <c r="A42" s="2" t="s">
        <v>104</v>
      </c>
      <c r="B42" s="2" t="s">
        <v>105</v>
      </c>
      <c r="C42" s="2">
        <v>71</v>
      </c>
      <c r="D42" s="2" t="s">
        <v>16</v>
      </c>
      <c r="E42" s="2" t="s">
        <v>36</v>
      </c>
      <c r="F42" s="2" t="s">
        <v>18</v>
      </c>
      <c r="G42" s="2">
        <v>2</v>
      </c>
      <c r="H42" s="2" t="s">
        <v>24</v>
      </c>
      <c r="I42" s="16">
        <v>1277.43</v>
      </c>
      <c r="J42" s="2" t="s">
        <v>30</v>
      </c>
    </row>
    <row r="43" spans="1:10" x14ac:dyDescent="0.25">
      <c r="A43" s="3" t="s">
        <v>106</v>
      </c>
      <c r="B43" s="3" t="s">
        <v>69</v>
      </c>
      <c r="C43" s="3">
        <v>32</v>
      </c>
      <c r="D43" s="3" t="s">
        <v>16</v>
      </c>
      <c r="E43" s="3" t="s">
        <v>42</v>
      </c>
      <c r="F43" s="4" t="s">
        <v>33</v>
      </c>
      <c r="G43" s="3">
        <v>12</v>
      </c>
      <c r="H43" s="3" t="s">
        <v>51</v>
      </c>
      <c r="I43" s="15">
        <v>4351.53</v>
      </c>
      <c r="J43" s="3" t="s">
        <v>20</v>
      </c>
    </row>
    <row r="44" spans="1:10" x14ac:dyDescent="0.25">
      <c r="A44" s="2" t="s">
        <v>107</v>
      </c>
      <c r="B44" s="2" t="s">
        <v>108</v>
      </c>
      <c r="C44" s="2">
        <v>4</v>
      </c>
      <c r="D44" s="2" t="s">
        <v>16</v>
      </c>
      <c r="E44" s="2" t="s">
        <v>42</v>
      </c>
      <c r="F44" s="4" t="s">
        <v>33</v>
      </c>
      <c r="G44" s="2">
        <v>15</v>
      </c>
      <c r="H44" s="2" t="s">
        <v>44</v>
      </c>
      <c r="I44" s="16">
        <v>3033.61</v>
      </c>
      <c r="J44" s="2" t="s">
        <v>20</v>
      </c>
    </row>
    <row r="45" spans="1:10" x14ac:dyDescent="0.25">
      <c r="A45" s="3" t="s">
        <v>109</v>
      </c>
      <c r="B45" s="3" t="s">
        <v>110</v>
      </c>
      <c r="C45" s="3">
        <v>61</v>
      </c>
      <c r="D45" s="3" t="s">
        <v>16</v>
      </c>
      <c r="E45" s="3" t="s">
        <v>17</v>
      </c>
      <c r="F45" s="4" t="s">
        <v>33</v>
      </c>
      <c r="G45" s="3">
        <v>19</v>
      </c>
      <c r="H45" s="3" t="s">
        <v>51</v>
      </c>
      <c r="I45" s="15">
        <v>3110.38</v>
      </c>
      <c r="J45" s="3" t="s">
        <v>20</v>
      </c>
    </row>
    <row r="46" spans="1:10" x14ac:dyDescent="0.25">
      <c r="A46" s="2" t="s">
        <v>111</v>
      </c>
      <c r="B46" s="2" t="s">
        <v>112</v>
      </c>
      <c r="C46" s="2">
        <v>25</v>
      </c>
      <c r="D46" s="2" t="s">
        <v>26</v>
      </c>
      <c r="E46" s="2" t="s">
        <v>42</v>
      </c>
      <c r="F46" s="2" t="s">
        <v>43</v>
      </c>
      <c r="G46" s="2">
        <v>5</v>
      </c>
      <c r="H46" s="2" t="s">
        <v>61</v>
      </c>
      <c r="I46" s="16">
        <v>2960.27</v>
      </c>
      <c r="J46" s="2" t="s">
        <v>30</v>
      </c>
    </row>
    <row r="47" spans="1:10" x14ac:dyDescent="0.25">
      <c r="A47" s="3" t="s">
        <v>113</v>
      </c>
      <c r="B47" s="3" t="s">
        <v>114</v>
      </c>
      <c r="C47" s="3">
        <v>87</v>
      </c>
      <c r="D47" s="3" t="s">
        <v>26</v>
      </c>
      <c r="E47" s="3" t="s">
        <v>50</v>
      </c>
      <c r="F47" s="3" t="s">
        <v>28</v>
      </c>
      <c r="G47" s="3">
        <v>2</v>
      </c>
      <c r="H47" s="3" t="s">
        <v>61</v>
      </c>
      <c r="I47" s="15">
        <v>539.28</v>
      </c>
      <c r="J47" s="3" t="s">
        <v>20</v>
      </c>
    </row>
    <row r="48" spans="1:10" x14ac:dyDescent="0.25">
      <c r="A48" s="2" t="s">
        <v>115</v>
      </c>
      <c r="B48" s="2" t="s">
        <v>90</v>
      </c>
      <c r="C48" s="2">
        <v>56</v>
      </c>
      <c r="D48" s="2" t="s">
        <v>26</v>
      </c>
      <c r="E48" s="2" t="s">
        <v>42</v>
      </c>
      <c r="F48" s="4" t="s">
        <v>33</v>
      </c>
      <c r="G48" s="2">
        <v>24</v>
      </c>
      <c r="H48" s="2" t="s">
        <v>51</v>
      </c>
      <c r="I48" s="16">
        <v>2731.29</v>
      </c>
      <c r="J48" s="2" t="s">
        <v>30</v>
      </c>
    </row>
    <row r="49" spans="1:10" x14ac:dyDescent="0.25">
      <c r="A49" s="3" t="s">
        <v>116</v>
      </c>
      <c r="B49" s="3" t="s">
        <v>117</v>
      </c>
      <c r="C49" s="3">
        <v>56</v>
      </c>
      <c r="D49" s="3" t="s">
        <v>16</v>
      </c>
      <c r="E49" s="3" t="s">
        <v>60</v>
      </c>
      <c r="F49" s="3" t="s">
        <v>18</v>
      </c>
      <c r="G49" s="3">
        <v>4</v>
      </c>
      <c r="H49" s="3" t="s">
        <v>29</v>
      </c>
      <c r="I49" s="15">
        <v>1388.17</v>
      </c>
      <c r="J49" s="3" t="s">
        <v>30</v>
      </c>
    </row>
    <row r="50" spans="1:10" x14ac:dyDescent="0.25">
      <c r="A50" s="2" t="s">
        <v>118</v>
      </c>
      <c r="B50" s="2" t="s">
        <v>35</v>
      </c>
      <c r="C50" s="2">
        <v>39</v>
      </c>
      <c r="D50" s="2" t="s">
        <v>26</v>
      </c>
      <c r="E50" s="2" t="s">
        <v>36</v>
      </c>
      <c r="F50" s="2" t="s">
        <v>43</v>
      </c>
      <c r="G50" s="2">
        <v>10</v>
      </c>
      <c r="H50" s="2" t="s">
        <v>19</v>
      </c>
      <c r="I50" s="16">
        <v>2636.65</v>
      </c>
      <c r="J50" s="2" t="s">
        <v>20</v>
      </c>
    </row>
    <row r="51" spans="1:10" x14ac:dyDescent="0.25">
      <c r="A51" s="3" t="s">
        <v>119</v>
      </c>
      <c r="B51" s="3" t="s">
        <v>108</v>
      </c>
      <c r="C51" s="3">
        <v>86</v>
      </c>
      <c r="D51" s="3" t="s">
        <v>26</v>
      </c>
      <c r="E51" s="3" t="s">
        <v>80</v>
      </c>
      <c r="F51" s="3" t="s">
        <v>43</v>
      </c>
      <c r="G51" s="3">
        <v>10</v>
      </c>
      <c r="H51" s="3" t="s">
        <v>24</v>
      </c>
      <c r="I51" s="15">
        <v>2457.52</v>
      </c>
      <c r="J51" s="3" t="s">
        <v>30</v>
      </c>
    </row>
    <row r="52" spans="1:10" x14ac:dyDescent="0.25">
      <c r="A52" s="2" t="s">
        <v>120</v>
      </c>
      <c r="B52" s="2" t="s">
        <v>121</v>
      </c>
      <c r="C52" s="2">
        <v>56</v>
      </c>
      <c r="D52" s="2" t="s">
        <v>26</v>
      </c>
      <c r="E52" s="2" t="s">
        <v>47</v>
      </c>
      <c r="F52" s="4" t="s">
        <v>33</v>
      </c>
      <c r="G52" s="2">
        <v>22</v>
      </c>
      <c r="H52" s="2" t="s">
        <v>19</v>
      </c>
      <c r="I52" s="16">
        <v>3851.25</v>
      </c>
      <c r="J52" s="2" t="s">
        <v>20</v>
      </c>
    </row>
    <row r="53" spans="1:10" x14ac:dyDescent="0.25">
      <c r="A53" s="3" t="s">
        <v>122</v>
      </c>
      <c r="B53" s="3" t="s">
        <v>69</v>
      </c>
      <c r="C53" s="3">
        <v>11</v>
      </c>
      <c r="D53" s="3" t="s">
        <v>26</v>
      </c>
      <c r="E53" s="3" t="s">
        <v>60</v>
      </c>
      <c r="F53" s="3" t="s">
        <v>43</v>
      </c>
      <c r="G53" s="3">
        <v>5</v>
      </c>
      <c r="H53" s="3" t="s">
        <v>51</v>
      </c>
      <c r="I53" s="15">
        <v>2782.11</v>
      </c>
      <c r="J53" s="3" t="s">
        <v>30</v>
      </c>
    </row>
    <row r="54" spans="1:10" x14ac:dyDescent="0.25">
      <c r="A54" s="2" t="s">
        <v>123</v>
      </c>
      <c r="B54" s="2" t="s">
        <v>124</v>
      </c>
      <c r="C54" s="2">
        <v>26</v>
      </c>
      <c r="D54" s="2" t="s">
        <v>16</v>
      </c>
      <c r="E54" s="2" t="s">
        <v>50</v>
      </c>
      <c r="F54" s="2" t="s">
        <v>28</v>
      </c>
      <c r="G54" s="2">
        <v>1</v>
      </c>
      <c r="H54" s="2" t="s">
        <v>44</v>
      </c>
      <c r="I54" s="16">
        <v>941.97</v>
      </c>
      <c r="J54" s="2" t="s">
        <v>20</v>
      </c>
    </row>
    <row r="55" spans="1:10" x14ac:dyDescent="0.25">
      <c r="A55" s="3" t="s">
        <v>125</v>
      </c>
      <c r="B55" s="3" t="s">
        <v>41</v>
      </c>
      <c r="C55" s="3">
        <v>74</v>
      </c>
      <c r="D55" s="3" t="s">
        <v>16</v>
      </c>
      <c r="E55" s="3" t="s">
        <v>36</v>
      </c>
      <c r="F55" s="4" t="s">
        <v>33</v>
      </c>
      <c r="G55" s="3">
        <v>20</v>
      </c>
      <c r="H55" s="3" t="s">
        <v>24</v>
      </c>
      <c r="I55" s="15">
        <v>2987.97</v>
      </c>
      <c r="J55" s="3" t="s">
        <v>20</v>
      </c>
    </row>
    <row r="56" spans="1:10" x14ac:dyDescent="0.25">
      <c r="A56" s="2" t="s">
        <v>126</v>
      </c>
      <c r="B56" s="2" t="s">
        <v>127</v>
      </c>
      <c r="C56" s="2">
        <v>23</v>
      </c>
      <c r="D56" s="2" t="s">
        <v>26</v>
      </c>
      <c r="E56" s="2" t="s">
        <v>50</v>
      </c>
      <c r="F56" s="2" t="s">
        <v>18</v>
      </c>
      <c r="G56" s="2">
        <v>2</v>
      </c>
      <c r="H56" s="2" t="s">
        <v>57</v>
      </c>
      <c r="I56" s="16">
        <v>1410.82</v>
      </c>
      <c r="J56" s="2" t="s">
        <v>30</v>
      </c>
    </row>
    <row r="57" spans="1:10" x14ac:dyDescent="0.25">
      <c r="A57" s="3" t="s">
        <v>128</v>
      </c>
      <c r="B57" s="3" t="s">
        <v>129</v>
      </c>
      <c r="C57" s="3">
        <v>65</v>
      </c>
      <c r="D57" s="3" t="s">
        <v>26</v>
      </c>
      <c r="E57" s="3" t="s">
        <v>60</v>
      </c>
      <c r="F57" s="4" t="s">
        <v>33</v>
      </c>
      <c r="G57" s="3">
        <v>13</v>
      </c>
      <c r="H57" s="3" t="s">
        <v>57</v>
      </c>
      <c r="I57" s="15">
        <v>3987.31</v>
      </c>
      <c r="J57" s="3" t="s">
        <v>20</v>
      </c>
    </row>
    <row r="58" spans="1:10" x14ac:dyDescent="0.25">
      <c r="A58" s="2" t="s">
        <v>130</v>
      </c>
      <c r="B58" s="2" t="s">
        <v>131</v>
      </c>
      <c r="C58" s="2">
        <v>32</v>
      </c>
      <c r="D58" s="2" t="s">
        <v>26</v>
      </c>
      <c r="E58" s="2" t="s">
        <v>60</v>
      </c>
      <c r="F58" s="4" t="s">
        <v>33</v>
      </c>
      <c r="G58" s="2">
        <v>15</v>
      </c>
      <c r="H58" s="2" t="s">
        <v>44</v>
      </c>
      <c r="I58" s="16">
        <v>3049.19</v>
      </c>
      <c r="J58" s="2" t="s">
        <v>30</v>
      </c>
    </row>
    <row r="59" spans="1:10" x14ac:dyDescent="0.25">
      <c r="A59" s="3" t="s">
        <v>132</v>
      </c>
      <c r="B59" s="3" t="s">
        <v>98</v>
      </c>
      <c r="C59" s="3">
        <v>43</v>
      </c>
      <c r="D59" s="3" t="s">
        <v>26</v>
      </c>
      <c r="E59" s="3" t="s">
        <v>60</v>
      </c>
      <c r="F59" s="3" t="s">
        <v>28</v>
      </c>
      <c r="G59" s="3">
        <v>1</v>
      </c>
      <c r="H59" s="3" t="s">
        <v>39</v>
      </c>
      <c r="I59" s="15">
        <v>525.41999999999996</v>
      </c>
      <c r="J59" s="3" t="s">
        <v>20</v>
      </c>
    </row>
    <row r="60" spans="1:10" x14ac:dyDescent="0.25">
      <c r="A60" s="2" t="s">
        <v>133</v>
      </c>
      <c r="B60" s="2" t="s">
        <v>134</v>
      </c>
      <c r="C60" s="2">
        <v>54</v>
      </c>
      <c r="D60" s="2" t="s">
        <v>26</v>
      </c>
      <c r="E60" s="2" t="s">
        <v>42</v>
      </c>
      <c r="F60" s="4" t="s">
        <v>33</v>
      </c>
      <c r="G60" s="2">
        <v>21</v>
      </c>
      <c r="H60" s="2" t="s">
        <v>39</v>
      </c>
      <c r="I60" s="16">
        <v>2624.53</v>
      </c>
      <c r="J60" s="2" t="s">
        <v>20</v>
      </c>
    </row>
    <row r="61" spans="1:10" x14ac:dyDescent="0.25">
      <c r="A61" s="3" t="s">
        <v>135</v>
      </c>
      <c r="B61" s="3" t="s">
        <v>136</v>
      </c>
      <c r="C61" s="3">
        <v>3</v>
      </c>
      <c r="D61" s="3" t="s">
        <v>26</v>
      </c>
      <c r="E61" s="3" t="s">
        <v>47</v>
      </c>
      <c r="F61" s="3" t="s">
        <v>28</v>
      </c>
      <c r="G61" s="3">
        <v>2</v>
      </c>
      <c r="H61" s="3" t="s">
        <v>39</v>
      </c>
      <c r="I61" s="15">
        <v>599.30999999999995</v>
      </c>
      <c r="J61" s="3" t="s">
        <v>20</v>
      </c>
    </row>
    <row r="62" spans="1:10" x14ac:dyDescent="0.25">
      <c r="A62" s="2" t="s">
        <v>137</v>
      </c>
      <c r="B62" s="2" t="s">
        <v>46</v>
      </c>
      <c r="C62" s="2">
        <v>70</v>
      </c>
      <c r="D62" s="2" t="s">
        <v>16</v>
      </c>
      <c r="E62" s="2" t="s">
        <v>47</v>
      </c>
      <c r="F62" s="2" t="s">
        <v>18</v>
      </c>
      <c r="G62" s="2">
        <v>4</v>
      </c>
      <c r="H62" s="2" t="s">
        <v>24</v>
      </c>
      <c r="I62" s="16">
        <v>1392.25</v>
      </c>
      <c r="J62" s="2" t="s">
        <v>20</v>
      </c>
    </row>
    <row r="63" spans="1:10" x14ac:dyDescent="0.25">
      <c r="A63" s="3" t="s">
        <v>138</v>
      </c>
      <c r="B63" s="3" t="s">
        <v>139</v>
      </c>
      <c r="C63" s="3">
        <v>87</v>
      </c>
      <c r="D63" s="3" t="s">
        <v>26</v>
      </c>
      <c r="E63" s="3" t="s">
        <v>80</v>
      </c>
      <c r="F63" s="4" t="s">
        <v>33</v>
      </c>
      <c r="G63" s="3">
        <v>12</v>
      </c>
      <c r="H63" s="3" t="s">
        <v>19</v>
      </c>
      <c r="I63" s="15">
        <v>4461.4399999999996</v>
      </c>
      <c r="J63" s="3" t="s">
        <v>20</v>
      </c>
    </row>
    <row r="64" spans="1:10" x14ac:dyDescent="0.25">
      <c r="A64" s="2" t="s">
        <v>140</v>
      </c>
      <c r="B64" s="2" t="s">
        <v>141</v>
      </c>
      <c r="C64" s="2">
        <v>73</v>
      </c>
      <c r="D64" s="2" t="s">
        <v>16</v>
      </c>
      <c r="E64" s="2" t="s">
        <v>23</v>
      </c>
      <c r="F64" s="4" t="s">
        <v>33</v>
      </c>
      <c r="G64" s="2">
        <v>12</v>
      </c>
      <c r="H64" s="2" t="s">
        <v>142</v>
      </c>
      <c r="I64" s="16">
        <v>4233.7</v>
      </c>
      <c r="J64" s="2" t="s">
        <v>20</v>
      </c>
    </row>
    <row r="65" spans="1:10" x14ac:dyDescent="0.25">
      <c r="A65" s="3" t="s">
        <v>143</v>
      </c>
      <c r="B65" s="3" t="s">
        <v>144</v>
      </c>
      <c r="C65" s="3">
        <v>42</v>
      </c>
      <c r="D65" s="3" t="s">
        <v>16</v>
      </c>
      <c r="E65" s="3" t="s">
        <v>47</v>
      </c>
      <c r="F65" s="3" t="s">
        <v>43</v>
      </c>
      <c r="G65" s="3">
        <v>9</v>
      </c>
      <c r="H65" s="3" t="s">
        <v>39</v>
      </c>
      <c r="I65" s="15">
        <v>2713.48</v>
      </c>
      <c r="J65" s="3" t="s">
        <v>30</v>
      </c>
    </row>
    <row r="66" spans="1:10" x14ac:dyDescent="0.25">
      <c r="A66" s="2" t="s">
        <v>145</v>
      </c>
      <c r="B66" s="2" t="s">
        <v>146</v>
      </c>
      <c r="C66" s="2">
        <v>11</v>
      </c>
      <c r="D66" s="2" t="s">
        <v>26</v>
      </c>
      <c r="E66" s="2" t="s">
        <v>50</v>
      </c>
      <c r="F66" s="2" t="s">
        <v>28</v>
      </c>
      <c r="G66" s="2">
        <v>2</v>
      </c>
      <c r="H66" s="2" t="s">
        <v>44</v>
      </c>
      <c r="I66" s="16">
        <v>562.11</v>
      </c>
      <c r="J66" s="2" t="s">
        <v>20</v>
      </c>
    </row>
    <row r="67" spans="1:10" x14ac:dyDescent="0.25">
      <c r="A67" s="3" t="s">
        <v>147</v>
      </c>
      <c r="B67" s="3" t="s">
        <v>148</v>
      </c>
      <c r="C67" s="3">
        <v>26</v>
      </c>
      <c r="D67" s="3" t="s">
        <v>16</v>
      </c>
      <c r="E67" s="3" t="s">
        <v>80</v>
      </c>
      <c r="F67" s="3" t="s">
        <v>18</v>
      </c>
      <c r="G67" s="3">
        <v>3</v>
      </c>
      <c r="H67" s="3" t="s">
        <v>44</v>
      </c>
      <c r="I67" s="15">
        <v>1426.2</v>
      </c>
      <c r="J67" s="3" t="s">
        <v>20</v>
      </c>
    </row>
    <row r="68" spans="1:10" x14ac:dyDescent="0.25">
      <c r="A68" s="2" t="s">
        <v>149</v>
      </c>
      <c r="B68" s="2" t="s">
        <v>150</v>
      </c>
      <c r="C68" s="2">
        <v>33</v>
      </c>
      <c r="D68" s="2" t="s">
        <v>26</v>
      </c>
      <c r="E68" s="2" t="s">
        <v>80</v>
      </c>
      <c r="F68" s="2" t="s">
        <v>28</v>
      </c>
      <c r="G68" s="2">
        <v>1</v>
      </c>
      <c r="H68" s="2" t="s">
        <v>44</v>
      </c>
      <c r="I68" s="16">
        <v>932.36</v>
      </c>
      <c r="J68" s="2" t="s">
        <v>20</v>
      </c>
    </row>
    <row r="69" spans="1:10" x14ac:dyDescent="0.25">
      <c r="A69" s="3" t="s">
        <v>151</v>
      </c>
      <c r="B69" s="3" t="s">
        <v>105</v>
      </c>
      <c r="C69" s="3">
        <v>87</v>
      </c>
      <c r="D69" s="3" t="s">
        <v>26</v>
      </c>
      <c r="E69" s="3" t="s">
        <v>36</v>
      </c>
      <c r="F69" s="3" t="s">
        <v>18</v>
      </c>
      <c r="G69" s="3">
        <v>2</v>
      </c>
      <c r="H69" s="3" t="s">
        <v>51</v>
      </c>
      <c r="I69" s="15">
        <v>1532.89</v>
      </c>
      <c r="J69" s="3" t="s">
        <v>20</v>
      </c>
    </row>
    <row r="70" spans="1:10" x14ac:dyDescent="0.25">
      <c r="A70" s="2" t="s">
        <v>152</v>
      </c>
      <c r="B70" s="2" t="s">
        <v>153</v>
      </c>
      <c r="C70" s="2">
        <v>88</v>
      </c>
      <c r="D70" s="2" t="s">
        <v>16</v>
      </c>
      <c r="E70" s="2" t="s">
        <v>50</v>
      </c>
      <c r="F70" s="2" t="s">
        <v>43</v>
      </c>
      <c r="G70" s="2">
        <v>12</v>
      </c>
      <c r="H70" s="2" t="s">
        <v>29</v>
      </c>
      <c r="I70" s="16">
        <v>2314.0500000000002</v>
      </c>
      <c r="J70" s="2" t="s">
        <v>20</v>
      </c>
    </row>
    <row r="71" spans="1:10" x14ac:dyDescent="0.25">
      <c r="A71" s="3" t="s">
        <v>154</v>
      </c>
      <c r="B71" s="3" t="s">
        <v>155</v>
      </c>
      <c r="C71" s="3">
        <v>44</v>
      </c>
      <c r="D71" s="3" t="s">
        <v>16</v>
      </c>
      <c r="E71" s="3" t="s">
        <v>36</v>
      </c>
      <c r="F71" s="4" t="s">
        <v>33</v>
      </c>
      <c r="G71" s="3">
        <v>11</v>
      </c>
      <c r="H71" s="3" t="s">
        <v>29</v>
      </c>
      <c r="I71" s="15">
        <v>3367.05</v>
      </c>
      <c r="J71" s="3" t="s">
        <v>20</v>
      </c>
    </row>
    <row r="72" spans="1:10" x14ac:dyDescent="0.25">
      <c r="A72" s="2" t="s">
        <v>156</v>
      </c>
      <c r="B72" s="2" t="s">
        <v>108</v>
      </c>
      <c r="C72" s="2">
        <v>23</v>
      </c>
      <c r="D72" s="2" t="s">
        <v>26</v>
      </c>
      <c r="E72" s="2" t="s">
        <v>60</v>
      </c>
      <c r="F72" s="4" t="s">
        <v>33</v>
      </c>
      <c r="G72" s="2">
        <v>22</v>
      </c>
      <c r="H72" s="2" t="s">
        <v>61</v>
      </c>
      <c r="I72" s="16">
        <v>3371.15</v>
      </c>
      <c r="J72" s="2" t="s">
        <v>30</v>
      </c>
    </row>
    <row r="73" spans="1:10" x14ac:dyDescent="0.25">
      <c r="A73" s="3" t="s">
        <v>157</v>
      </c>
      <c r="B73" s="3" t="s">
        <v>158</v>
      </c>
      <c r="C73" s="3">
        <v>12</v>
      </c>
      <c r="D73" s="3" t="s">
        <v>26</v>
      </c>
      <c r="E73" s="3" t="s">
        <v>47</v>
      </c>
      <c r="F73" s="3" t="s">
        <v>18</v>
      </c>
      <c r="G73" s="3">
        <v>5</v>
      </c>
      <c r="H73" s="3" t="s">
        <v>39</v>
      </c>
      <c r="I73" s="15">
        <v>1512.86</v>
      </c>
      <c r="J73" s="3" t="s">
        <v>30</v>
      </c>
    </row>
    <row r="74" spans="1:10" x14ac:dyDescent="0.25">
      <c r="A74" s="2" t="s">
        <v>159</v>
      </c>
      <c r="B74" s="2" t="s">
        <v>160</v>
      </c>
      <c r="C74" s="2">
        <v>42</v>
      </c>
      <c r="D74" s="2" t="s">
        <v>16</v>
      </c>
      <c r="E74" s="2" t="s">
        <v>47</v>
      </c>
      <c r="F74" s="2" t="s">
        <v>18</v>
      </c>
      <c r="G74" s="2">
        <v>4</v>
      </c>
      <c r="H74" s="2" t="s">
        <v>29</v>
      </c>
      <c r="I74" s="16">
        <v>1718.05</v>
      </c>
      <c r="J74" s="2" t="s">
        <v>30</v>
      </c>
    </row>
    <row r="75" spans="1:10" x14ac:dyDescent="0.25">
      <c r="A75" s="3" t="s">
        <v>161</v>
      </c>
      <c r="B75" s="3" t="s">
        <v>136</v>
      </c>
      <c r="C75" s="3">
        <v>36</v>
      </c>
      <c r="D75" s="3" t="s">
        <v>16</v>
      </c>
      <c r="E75" s="3" t="s">
        <v>60</v>
      </c>
      <c r="F75" s="3" t="s">
        <v>18</v>
      </c>
      <c r="G75" s="3">
        <v>2</v>
      </c>
      <c r="H75" s="3" t="s">
        <v>39</v>
      </c>
      <c r="I75" s="15">
        <v>1217.22</v>
      </c>
      <c r="J75" s="3" t="s">
        <v>20</v>
      </c>
    </row>
    <row r="76" spans="1:10" x14ac:dyDescent="0.25">
      <c r="A76" s="2" t="s">
        <v>162</v>
      </c>
      <c r="B76" s="2" t="s">
        <v>163</v>
      </c>
      <c r="C76" s="2">
        <v>31</v>
      </c>
      <c r="D76" s="2" t="s">
        <v>26</v>
      </c>
      <c r="E76" s="2" t="s">
        <v>47</v>
      </c>
      <c r="F76" s="4" t="s">
        <v>33</v>
      </c>
      <c r="G76" s="2">
        <v>8</v>
      </c>
      <c r="H76" s="2" t="s">
        <v>51</v>
      </c>
      <c r="I76" s="16">
        <v>2686.11</v>
      </c>
      <c r="J76" s="2" t="s">
        <v>20</v>
      </c>
    </row>
    <row r="77" spans="1:10" x14ac:dyDescent="0.25">
      <c r="A77" s="3" t="s">
        <v>164</v>
      </c>
      <c r="B77" s="3" t="s">
        <v>165</v>
      </c>
      <c r="C77" s="3">
        <v>85</v>
      </c>
      <c r="D77" s="3" t="s">
        <v>26</v>
      </c>
      <c r="E77" s="3" t="s">
        <v>47</v>
      </c>
      <c r="F77" s="3" t="s">
        <v>43</v>
      </c>
      <c r="G77" s="3">
        <v>10</v>
      </c>
      <c r="H77" s="3" t="s">
        <v>19</v>
      </c>
      <c r="I77" s="15">
        <v>2995.96</v>
      </c>
      <c r="J77" s="3" t="s">
        <v>30</v>
      </c>
    </row>
    <row r="78" spans="1:10" x14ac:dyDescent="0.25">
      <c r="A78" s="2" t="s">
        <v>166</v>
      </c>
      <c r="B78" s="2" t="s">
        <v>167</v>
      </c>
      <c r="C78" s="2">
        <v>59</v>
      </c>
      <c r="D78" s="2" t="s">
        <v>26</v>
      </c>
      <c r="E78" s="2" t="s">
        <v>27</v>
      </c>
      <c r="F78" s="2" t="s">
        <v>43</v>
      </c>
      <c r="G78" s="2">
        <v>7</v>
      </c>
      <c r="H78" s="2" t="s">
        <v>51</v>
      </c>
      <c r="I78" s="16">
        <v>1944.79</v>
      </c>
      <c r="J78" s="2" t="s">
        <v>30</v>
      </c>
    </row>
    <row r="79" spans="1:10" x14ac:dyDescent="0.25">
      <c r="A79" s="3" t="s">
        <v>168</v>
      </c>
      <c r="B79" s="3" t="s">
        <v>35</v>
      </c>
      <c r="C79" s="3">
        <v>69</v>
      </c>
      <c r="D79" s="3" t="s">
        <v>16</v>
      </c>
      <c r="E79" s="3" t="s">
        <v>17</v>
      </c>
      <c r="F79" s="3" t="s">
        <v>18</v>
      </c>
      <c r="G79" s="3">
        <v>7</v>
      </c>
      <c r="H79" s="3" t="s">
        <v>19</v>
      </c>
      <c r="I79" s="15">
        <v>1435.78</v>
      </c>
      <c r="J79" s="3" t="s">
        <v>30</v>
      </c>
    </row>
    <row r="80" spans="1:10" x14ac:dyDescent="0.25">
      <c r="A80" s="2" t="s">
        <v>169</v>
      </c>
      <c r="B80" s="2" t="s">
        <v>170</v>
      </c>
      <c r="C80" s="2">
        <v>25</v>
      </c>
      <c r="D80" s="2" t="s">
        <v>26</v>
      </c>
      <c r="E80" s="2" t="s">
        <v>17</v>
      </c>
      <c r="F80" s="2" t="s">
        <v>43</v>
      </c>
      <c r="G80" s="2">
        <v>6</v>
      </c>
      <c r="H80" s="2" t="s">
        <v>19</v>
      </c>
      <c r="I80" s="16">
        <v>2162.7199999999998</v>
      </c>
      <c r="J80" s="2" t="s">
        <v>20</v>
      </c>
    </row>
    <row r="81" spans="1:10" x14ac:dyDescent="0.25">
      <c r="A81" s="3" t="s">
        <v>171</v>
      </c>
      <c r="B81" s="3" t="s">
        <v>88</v>
      </c>
      <c r="C81" s="3">
        <v>7</v>
      </c>
      <c r="D81" s="3" t="s">
        <v>26</v>
      </c>
      <c r="E81" s="3" t="s">
        <v>80</v>
      </c>
      <c r="F81" s="4" t="s">
        <v>33</v>
      </c>
      <c r="G81" s="3">
        <v>11</v>
      </c>
      <c r="H81" s="3" t="s">
        <v>61</v>
      </c>
      <c r="I81" s="15">
        <v>4245.4399999999996</v>
      </c>
      <c r="J81" s="3" t="s">
        <v>20</v>
      </c>
    </row>
    <row r="82" spans="1:10" x14ac:dyDescent="0.25">
      <c r="A82" s="2" t="s">
        <v>172</v>
      </c>
      <c r="B82" s="2" t="s">
        <v>173</v>
      </c>
      <c r="C82" s="2">
        <v>44</v>
      </c>
      <c r="D82" s="2" t="s">
        <v>16</v>
      </c>
      <c r="E82" s="2" t="s">
        <v>50</v>
      </c>
      <c r="F82" s="2" t="s">
        <v>43</v>
      </c>
      <c r="G82" s="2">
        <v>11</v>
      </c>
      <c r="H82" s="2" t="s">
        <v>44</v>
      </c>
      <c r="I82" s="16">
        <v>1936.9</v>
      </c>
      <c r="J82" s="2" t="s">
        <v>20</v>
      </c>
    </row>
    <row r="83" spans="1:10" x14ac:dyDescent="0.25">
      <c r="A83" s="3" t="s">
        <v>174</v>
      </c>
      <c r="B83" s="3" t="s">
        <v>175</v>
      </c>
      <c r="C83" s="3">
        <v>74</v>
      </c>
      <c r="D83" s="3" t="s">
        <v>16</v>
      </c>
      <c r="E83" s="3" t="s">
        <v>80</v>
      </c>
      <c r="F83" s="3" t="s">
        <v>18</v>
      </c>
      <c r="G83" s="3">
        <v>6</v>
      </c>
      <c r="H83" s="3" t="s">
        <v>44</v>
      </c>
      <c r="I83" s="15">
        <v>1854.21</v>
      </c>
      <c r="J83" s="3" t="s">
        <v>20</v>
      </c>
    </row>
    <row r="84" spans="1:10" x14ac:dyDescent="0.25">
      <c r="A84" s="2" t="s">
        <v>176</v>
      </c>
      <c r="B84" s="2" t="s">
        <v>177</v>
      </c>
      <c r="C84" s="2">
        <v>54</v>
      </c>
      <c r="D84" s="2" t="s">
        <v>16</v>
      </c>
      <c r="E84" s="2" t="s">
        <v>60</v>
      </c>
      <c r="F84" s="4" t="s">
        <v>33</v>
      </c>
      <c r="G84" s="2">
        <v>22</v>
      </c>
      <c r="H84" s="2" t="s">
        <v>61</v>
      </c>
      <c r="I84" s="16">
        <v>4317.01</v>
      </c>
      <c r="J84" s="2" t="s">
        <v>20</v>
      </c>
    </row>
    <row r="85" spans="1:10" x14ac:dyDescent="0.25">
      <c r="A85" s="3" t="s">
        <v>178</v>
      </c>
      <c r="B85" s="3" t="s">
        <v>105</v>
      </c>
      <c r="C85" s="3">
        <v>80</v>
      </c>
      <c r="D85" s="3" t="s">
        <v>16</v>
      </c>
      <c r="E85" s="3" t="s">
        <v>23</v>
      </c>
      <c r="F85" s="3" t="s">
        <v>18</v>
      </c>
      <c r="G85" s="3">
        <v>7</v>
      </c>
      <c r="H85" s="3" t="s">
        <v>44</v>
      </c>
      <c r="I85" s="15">
        <v>1189.92</v>
      </c>
      <c r="J85" s="3" t="s">
        <v>20</v>
      </c>
    </row>
    <row r="86" spans="1:10" x14ac:dyDescent="0.25">
      <c r="A86" s="2" t="s">
        <v>179</v>
      </c>
      <c r="B86" s="2" t="s">
        <v>180</v>
      </c>
      <c r="C86" s="2">
        <v>71</v>
      </c>
      <c r="D86" s="2" t="s">
        <v>16</v>
      </c>
      <c r="E86" s="2" t="s">
        <v>80</v>
      </c>
      <c r="F86" s="2" t="s">
        <v>28</v>
      </c>
      <c r="G86" s="2">
        <v>2</v>
      </c>
      <c r="H86" s="2" t="s">
        <v>57</v>
      </c>
      <c r="I86" s="16">
        <v>675.25</v>
      </c>
      <c r="J86" s="2" t="s">
        <v>30</v>
      </c>
    </row>
    <row r="87" spans="1:10" x14ac:dyDescent="0.25">
      <c r="A87" s="3" t="s">
        <v>181</v>
      </c>
      <c r="B87" s="3" t="s">
        <v>148</v>
      </c>
      <c r="C87" s="3">
        <v>37</v>
      </c>
      <c r="D87" s="3" t="s">
        <v>26</v>
      </c>
      <c r="E87" s="3" t="s">
        <v>47</v>
      </c>
      <c r="F87" s="3" t="s">
        <v>28</v>
      </c>
      <c r="G87" s="3">
        <v>3</v>
      </c>
      <c r="H87" s="3" t="s">
        <v>61</v>
      </c>
      <c r="I87" s="15">
        <v>566.71</v>
      </c>
      <c r="J87" s="3" t="s">
        <v>20</v>
      </c>
    </row>
    <row r="88" spans="1:10" x14ac:dyDescent="0.25">
      <c r="A88" s="2" t="s">
        <v>182</v>
      </c>
      <c r="B88" s="2" t="s">
        <v>183</v>
      </c>
      <c r="C88" s="2">
        <v>70</v>
      </c>
      <c r="D88" s="2" t="s">
        <v>16</v>
      </c>
      <c r="E88" s="2" t="s">
        <v>80</v>
      </c>
      <c r="F88" s="2" t="s">
        <v>43</v>
      </c>
      <c r="G88" s="2">
        <v>6</v>
      </c>
      <c r="H88" s="2" t="s">
        <v>142</v>
      </c>
      <c r="I88" s="16">
        <v>1885.69</v>
      </c>
      <c r="J88" s="2" t="s">
        <v>30</v>
      </c>
    </row>
    <row r="89" spans="1:10" x14ac:dyDescent="0.25">
      <c r="A89" s="3" t="s">
        <v>184</v>
      </c>
      <c r="B89" s="3" t="s">
        <v>46</v>
      </c>
      <c r="C89" s="3">
        <v>73</v>
      </c>
      <c r="D89" s="3" t="s">
        <v>26</v>
      </c>
      <c r="E89" s="3" t="s">
        <v>47</v>
      </c>
      <c r="F89" s="3" t="s">
        <v>28</v>
      </c>
      <c r="G89" s="3">
        <v>2</v>
      </c>
      <c r="H89" s="3" t="s">
        <v>39</v>
      </c>
      <c r="I89" s="15">
        <v>794.34</v>
      </c>
      <c r="J89" s="3" t="s">
        <v>30</v>
      </c>
    </row>
    <row r="90" spans="1:10" x14ac:dyDescent="0.25">
      <c r="A90" s="2" t="s">
        <v>185</v>
      </c>
      <c r="B90" s="2" t="s">
        <v>186</v>
      </c>
      <c r="C90" s="2">
        <v>64</v>
      </c>
      <c r="D90" s="2" t="s">
        <v>26</v>
      </c>
      <c r="E90" s="2" t="s">
        <v>23</v>
      </c>
      <c r="F90" s="2" t="s">
        <v>28</v>
      </c>
      <c r="G90" s="2">
        <v>2</v>
      </c>
      <c r="H90" s="2" t="s">
        <v>61</v>
      </c>
      <c r="I90" s="16">
        <v>817.27</v>
      </c>
      <c r="J90" s="2" t="s">
        <v>20</v>
      </c>
    </row>
    <row r="91" spans="1:10" x14ac:dyDescent="0.25">
      <c r="A91" s="3" t="s">
        <v>187</v>
      </c>
      <c r="B91" s="3" t="s">
        <v>148</v>
      </c>
      <c r="C91" s="3">
        <v>87</v>
      </c>
      <c r="D91" s="3" t="s">
        <v>16</v>
      </c>
      <c r="E91" s="3" t="s">
        <v>27</v>
      </c>
      <c r="F91" s="3" t="s">
        <v>28</v>
      </c>
      <c r="G91" s="3">
        <v>1</v>
      </c>
      <c r="H91" s="3" t="s">
        <v>57</v>
      </c>
      <c r="I91" s="15">
        <v>685.25</v>
      </c>
      <c r="J91" s="3" t="s">
        <v>30</v>
      </c>
    </row>
    <row r="92" spans="1:10" x14ac:dyDescent="0.25">
      <c r="A92" s="2" t="s">
        <v>188</v>
      </c>
      <c r="B92" s="2" t="s">
        <v>189</v>
      </c>
      <c r="C92" s="2">
        <v>56</v>
      </c>
      <c r="D92" s="2" t="s">
        <v>26</v>
      </c>
      <c r="E92" s="2" t="s">
        <v>23</v>
      </c>
      <c r="F92" s="4" t="s">
        <v>33</v>
      </c>
      <c r="G92" s="2">
        <v>19</v>
      </c>
      <c r="H92" s="2" t="s">
        <v>29</v>
      </c>
      <c r="I92" s="16">
        <v>3316.7</v>
      </c>
      <c r="J92" s="2" t="s">
        <v>20</v>
      </c>
    </row>
    <row r="93" spans="1:10" x14ac:dyDescent="0.25">
      <c r="A93" s="3" t="s">
        <v>190</v>
      </c>
      <c r="B93" s="3" t="s">
        <v>191</v>
      </c>
      <c r="C93" s="3">
        <v>53</v>
      </c>
      <c r="D93" s="3" t="s">
        <v>26</v>
      </c>
      <c r="E93" s="3" t="s">
        <v>27</v>
      </c>
      <c r="F93" s="4" t="s">
        <v>33</v>
      </c>
      <c r="G93" s="3">
        <v>9</v>
      </c>
      <c r="H93" s="3" t="s">
        <v>29</v>
      </c>
      <c r="I93" s="15">
        <v>3409.65</v>
      </c>
      <c r="J93" s="3" t="s">
        <v>30</v>
      </c>
    </row>
    <row r="94" spans="1:10" x14ac:dyDescent="0.25">
      <c r="A94" s="2" t="s">
        <v>192</v>
      </c>
      <c r="B94" s="2" t="s">
        <v>193</v>
      </c>
      <c r="C94" s="2">
        <v>52</v>
      </c>
      <c r="D94" s="2" t="s">
        <v>16</v>
      </c>
      <c r="E94" s="2" t="s">
        <v>60</v>
      </c>
      <c r="F94" s="4" t="s">
        <v>33</v>
      </c>
      <c r="G94" s="2">
        <v>21</v>
      </c>
      <c r="H94" s="2" t="s">
        <v>19</v>
      </c>
      <c r="I94" s="16">
        <v>2608.41</v>
      </c>
      <c r="J94" s="2" t="s">
        <v>30</v>
      </c>
    </row>
    <row r="95" spans="1:10" x14ac:dyDescent="0.25">
      <c r="A95" s="3" t="s">
        <v>194</v>
      </c>
      <c r="B95" s="3" t="s">
        <v>163</v>
      </c>
      <c r="C95" s="3">
        <v>64</v>
      </c>
      <c r="D95" s="3" t="s">
        <v>26</v>
      </c>
      <c r="E95" s="3" t="s">
        <v>50</v>
      </c>
      <c r="F95" s="3" t="s">
        <v>18</v>
      </c>
      <c r="G95" s="3">
        <v>4</v>
      </c>
      <c r="H95" s="3" t="s">
        <v>61</v>
      </c>
      <c r="I95" s="15">
        <v>1494.3</v>
      </c>
      <c r="J95" s="3" t="s">
        <v>20</v>
      </c>
    </row>
    <row r="96" spans="1:10" x14ac:dyDescent="0.25">
      <c r="A96" s="2" t="s">
        <v>195</v>
      </c>
      <c r="B96" s="2" t="s">
        <v>183</v>
      </c>
      <c r="C96" s="2">
        <v>4</v>
      </c>
      <c r="D96" s="2" t="s">
        <v>16</v>
      </c>
      <c r="E96" s="2" t="s">
        <v>80</v>
      </c>
      <c r="F96" s="2" t="s">
        <v>43</v>
      </c>
      <c r="G96" s="2">
        <v>12</v>
      </c>
      <c r="H96" s="2" t="s">
        <v>39</v>
      </c>
      <c r="I96" s="16">
        <v>1816.41</v>
      </c>
      <c r="J96" s="2" t="s">
        <v>20</v>
      </c>
    </row>
    <row r="97" spans="1:10" x14ac:dyDescent="0.25">
      <c r="A97" s="3" t="s">
        <v>196</v>
      </c>
      <c r="B97" s="3" t="s">
        <v>158</v>
      </c>
      <c r="C97" s="3">
        <v>15</v>
      </c>
      <c r="D97" s="3" t="s">
        <v>26</v>
      </c>
      <c r="E97" s="3" t="s">
        <v>23</v>
      </c>
      <c r="F97" s="3" t="s">
        <v>18</v>
      </c>
      <c r="G97" s="3">
        <v>5</v>
      </c>
      <c r="H97" s="3" t="s">
        <v>61</v>
      </c>
      <c r="I97" s="15">
        <v>1839.39</v>
      </c>
      <c r="J97" s="3" t="s">
        <v>30</v>
      </c>
    </row>
    <row r="98" spans="1:10" x14ac:dyDescent="0.25">
      <c r="A98" s="2" t="s">
        <v>197</v>
      </c>
      <c r="B98" s="2" t="s">
        <v>101</v>
      </c>
      <c r="C98" s="2">
        <v>62</v>
      </c>
      <c r="D98" s="2" t="s">
        <v>26</v>
      </c>
      <c r="E98" s="2" t="s">
        <v>17</v>
      </c>
      <c r="F98" s="4" t="s">
        <v>33</v>
      </c>
      <c r="G98" s="2">
        <v>12</v>
      </c>
      <c r="H98" s="2" t="s">
        <v>19</v>
      </c>
      <c r="I98" s="16">
        <v>3267.17</v>
      </c>
      <c r="J98" s="2" t="s">
        <v>20</v>
      </c>
    </row>
    <row r="99" spans="1:10" x14ac:dyDescent="0.25">
      <c r="A99" s="3" t="s">
        <v>198</v>
      </c>
      <c r="B99" s="3" t="s">
        <v>199</v>
      </c>
      <c r="C99" s="3">
        <v>54</v>
      </c>
      <c r="D99" s="3" t="s">
        <v>26</v>
      </c>
      <c r="E99" s="3" t="s">
        <v>60</v>
      </c>
      <c r="F99" s="3" t="s">
        <v>43</v>
      </c>
      <c r="G99" s="3">
        <v>4</v>
      </c>
      <c r="H99" s="3" t="s">
        <v>61</v>
      </c>
      <c r="I99" s="15">
        <v>2139.41</v>
      </c>
      <c r="J99" s="3" t="s">
        <v>20</v>
      </c>
    </row>
    <row r="100" spans="1:10" x14ac:dyDescent="0.25">
      <c r="A100" s="2" t="s">
        <v>200</v>
      </c>
      <c r="B100" s="2" t="s">
        <v>63</v>
      </c>
      <c r="C100" s="2">
        <v>69</v>
      </c>
      <c r="D100" s="2" t="s">
        <v>26</v>
      </c>
      <c r="E100" s="2" t="s">
        <v>42</v>
      </c>
      <c r="F100" s="2" t="s">
        <v>43</v>
      </c>
      <c r="G100" s="2">
        <v>12</v>
      </c>
      <c r="H100" s="2" t="s">
        <v>39</v>
      </c>
      <c r="I100" s="16">
        <v>2715.45</v>
      </c>
      <c r="J100" s="2" t="s">
        <v>20</v>
      </c>
    </row>
    <row r="101" spans="1:10" x14ac:dyDescent="0.25">
      <c r="A101" s="3" t="s">
        <v>201</v>
      </c>
      <c r="B101" s="3" t="s">
        <v>153</v>
      </c>
      <c r="C101" s="3">
        <v>25</v>
      </c>
      <c r="D101" s="3" t="s">
        <v>16</v>
      </c>
      <c r="E101" s="3" t="s">
        <v>36</v>
      </c>
      <c r="F101" s="3" t="s">
        <v>18</v>
      </c>
      <c r="G101" s="3">
        <v>5</v>
      </c>
      <c r="H101" s="3" t="s">
        <v>57</v>
      </c>
      <c r="I101" s="15">
        <v>1039.28</v>
      </c>
      <c r="J101" s="3" t="s">
        <v>20</v>
      </c>
    </row>
    <row r="102" spans="1:10" x14ac:dyDescent="0.25">
      <c r="A102" s="2" t="s">
        <v>202</v>
      </c>
      <c r="B102" s="2" t="s">
        <v>71</v>
      </c>
      <c r="C102" s="2">
        <v>84</v>
      </c>
      <c r="D102" s="2" t="s">
        <v>16</v>
      </c>
      <c r="E102" s="2" t="s">
        <v>47</v>
      </c>
      <c r="F102" s="2" t="s">
        <v>28</v>
      </c>
      <c r="G102" s="2">
        <v>1</v>
      </c>
      <c r="H102" s="2" t="s">
        <v>29</v>
      </c>
      <c r="I102" s="16">
        <v>701.15</v>
      </c>
      <c r="J102" s="2" t="s">
        <v>20</v>
      </c>
    </row>
    <row r="103" spans="1:10" x14ac:dyDescent="0.25">
      <c r="A103" s="3" t="s">
        <v>203</v>
      </c>
      <c r="B103" s="3" t="s">
        <v>183</v>
      </c>
      <c r="C103" s="3">
        <v>68</v>
      </c>
      <c r="D103" s="3" t="s">
        <v>26</v>
      </c>
      <c r="E103" s="3" t="s">
        <v>50</v>
      </c>
      <c r="F103" s="3" t="s">
        <v>18</v>
      </c>
      <c r="G103" s="3">
        <v>5</v>
      </c>
      <c r="H103" s="3" t="s">
        <v>142</v>
      </c>
      <c r="I103" s="15">
        <v>1783.84</v>
      </c>
      <c r="J103" s="3" t="s">
        <v>20</v>
      </c>
    </row>
    <row r="104" spans="1:10" x14ac:dyDescent="0.25">
      <c r="A104" s="2" t="s">
        <v>204</v>
      </c>
      <c r="B104" s="2" t="s">
        <v>82</v>
      </c>
      <c r="C104" s="2">
        <v>34</v>
      </c>
      <c r="D104" s="2" t="s">
        <v>26</v>
      </c>
      <c r="E104" s="2" t="s">
        <v>36</v>
      </c>
      <c r="F104" s="2" t="s">
        <v>28</v>
      </c>
      <c r="G104" s="2">
        <v>2</v>
      </c>
      <c r="H104" s="2" t="s">
        <v>19</v>
      </c>
      <c r="I104" s="16">
        <v>876.17</v>
      </c>
      <c r="J104" s="2" t="s">
        <v>20</v>
      </c>
    </row>
    <row r="105" spans="1:10" x14ac:dyDescent="0.25">
      <c r="A105" s="3" t="s">
        <v>205</v>
      </c>
      <c r="B105" s="3" t="s">
        <v>206</v>
      </c>
      <c r="C105" s="3">
        <v>63</v>
      </c>
      <c r="D105" s="3" t="s">
        <v>16</v>
      </c>
      <c r="E105" s="3" t="s">
        <v>23</v>
      </c>
      <c r="F105" s="3" t="s">
        <v>18</v>
      </c>
      <c r="G105" s="3">
        <v>7</v>
      </c>
      <c r="H105" s="3" t="s">
        <v>61</v>
      </c>
      <c r="I105" s="15">
        <v>1615.96</v>
      </c>
      <c r="J105" s="3" t="s">
        <v>20</v>
      </c>
    </row>
    <row r="106" spans="1:10" ht="16.5" x14ac:dyDescent="0.3">
      <c r="A106" s="13" t="s">
        <v>207</v>
      </c>
      <c r="B106" s="14"/>
      <c r="C106" s="14"/>
      <c r="D106" s="14"/>
      <c r="E106" s="14"/>
      <c r="F106" s="14"/>
      <c r="G106" s="5">
        <f>AVERAGE(G6:G105)</f>
        <v>7.6</v>
      </c>
      <c r="H106" s="14"/>
      <c r="I106" s="17">
        <f>SUM(I6:I105)</f>
        <v>206206.34999999995</v>
      </c>
      <c r="J106" s="14"/>
    </row>
  </sheetData>
  <mergeCells count="7">
    <mergeCell ref="A1:F1"/>
    <mergeCell ref="E4:F4"/>
    <mergeCell ref="B3:C3"/>
    <mergeCell ref="H4:I4"/>
    <mergeCell ref="B4:C4"/>
    <mergeCell ref="E3:F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Patient Census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Avanthi</cp:lastModifiedBy>
  <dcterms:created xsi:type="dcterms:W3CDTF">2026-06-24T09:01:30Z</dcterms:created>
  <dcterms:modified xsi:type="dcterms:W3CDTF">2026-06-24T10:01:53Z</dcterms:modified>
</cp:coreProperties>
</file>